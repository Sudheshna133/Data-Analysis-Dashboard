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0DIGITMG python 10 to 1\Project(Wind Turbine Failure)\Project documents\"/>
    </mc:Choice>
  </mc:AlternateContent>
  <xr:revisionPtr revIDLastSave="0" documentId="13_ncr:1_{B15E4F53-4E7F-4BD6-A922-DC599DE8C607}" xr6:coauthVersionLast="47" xr6:coauthVersionMax="47" xr10:uidLastSave="{00000000-0000-0000-0000-000000000000}"/>
  <bookViews>
    <workbookView xWindow="-110" yWindow="-110" windowWidth="19420" windowHeight="10300" xr2:uid="{891720EB-BF57-42E5-AA2E-195E4463B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0" i="1" l="1"/>
  <c r="M27" i="1"/>
  <c r="N27" i="1"/>
  <c r="N50" i="1"/>
</calcChain>
</file>

<file path=xl/sharedStrings.xml><?xml version="1.0" encoding="utf-8"?>
<sst xmlns="http://schemas.openxmlformats.org/spreadsheetml/2006/main" count="73" uniqueCount="40">
  <si>
    <t>MEAN</t>
  </si>
  <si>
    <t>MEDIAN</t>
  </si>
  <si>
    <t>Duplicate records</t>
  </si>
  <si>
    <t>1st Business moment</t>
  </si>
  <si>
    <t>3rd Business moment</t>
  </si>
  <si>
    <t>VARIANCE</t>
  </si>
  <si>
    <t>MAX</t>
  </si>
  <si>
    <t>RANGE</t>
  </si>
  <si>
    <t>4th Business moment</t>
  </si>
  <si>
    <t>Power</t>
  </si>
  <si>
    <t>Nacelle_ambient_temperature</t>
  </si>
  <si>
    <t>Generator_bearing_temperature</t>
  </si>
  <si>
    <t>Gear_oil_temperature</t>
  </si>
  <si>
    <t>Ambient_temperature</t>
  </si>
  <si>
    <t>Rotor_Speed</t>
  </si>
  <si>
    <t>Nacelle_temperature</t>
  </si>
  <si>
    <t>Bearing_temperature</t>
  </si>
  <si>
    <t>Generator_speed</t>
  </si>
  <si>
    <t>Wheel_hub_temperature</t>
  </si>
  <si>
    <t>Gear_box_inlet_temperature</t>
  </si>
  <si>
    <t>Wind_speed</t>
  </si>
  <si>
    <t>Yaw_angle</t>
  </si>
  <si>
    <t>Wind_direction</t>
  </si>
  <si>
    <t>SKEWNESS</t>
  </si>
  <si>
    <t>KURTOSIS</t>
  </si>
  <si>
    <t>NULL VALUES</t>
  </si>
  <si>
    <t>OUTLIERS COUNT</t>
  </si>
  <si>
    <t>MIN</t>
  </si>
  <si>
    <t>Failure_status</t>
  </si>
  <si>
    <t>Count(Total no of Rows)</t>
  </si>
  <si>
    <t>MODE</t>
  </si>
  <si>
    <t>AFTER PREPROCESSING</t>
  </si>
  <si>
    <t>2nd Business moment</t>
  </si>
  <si>
    <t>STDDEV</t>
  </si>
  <si>
    <t>COLUMNS(Categorical  Data)-2</t>
  </si>
  <si>
    <t>COLUMNS(Numerical Data)-14</t>
  </si>
  <si>
    <t>BEFORE PREPROCESSING</t>
  </si>
  <si>
    <t>EXPLORATORY DATA ANALYSIS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</si>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</sst>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5" fillId="2" borderId="1" xfId="0" applyFont="1" applyFill="1" applyBorder="1"/>
    <xf numFmtId="0" fontId="5" fillId="3" borderId="1" xfId="0" applyFont="1" applyFill="1" applyBorder="1"/>
    <xf numFmtId="0" fontId="5" fillId="5" borderId="1" xfId="0" applyFont="1" applyFill="1" applyBorder="1"/>
    <xf numFmtId="0" fontId="6" fillId="0" borderId="0" xfId="0" applyFont="1"/>
    <xf numFmtId="0" fontId="2" fillId="0" borderId="0" xfId="0" applyFont="1"/>
    <xf numFmtId="0" fontId="7" fillId="2" borderId="0" xfId="0" applyFont="1" applyFill="1"/>
    <xf numFmtId="0" fontId="7" fillId="2" borderId="1" xfId="0" applyFont="1" applyFill="1" applyBorder="1"/>
    <xf numFmtId="0" fontId="3" fillId="4" borderId="1" xfId="0" applyFont="1" applyFill="1" applyBorder="1" applyAlignment="1">
      <alignment horizontal="center"/>
    </xf>
    <xf numFmtId="0" fontId="7" fillId="0" borderId="0" xfId="0" applyFont="1"/>
    <xf numFmtId="0" fontId="7" fillId="3" borderId="1" xfId="0" applyFont="1" applyFill="1" applyBorder="1"/>
    <xf numFmtId="0" fontId="7" fillId="5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0" borderId="1" xfId="0" applyFont="1" applyBorder="1"/>
    <xf numFmtId="0" fontId="3" fillId="4" borderId="0" xfId="0" applyFont="1" applyFill="1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3D88-8B17-404D-87F5-82DBE09E7B09}">
  <dimension ref="A4:N50"/>
  <sheetViews>
    <sheetView tabSelected="1" zoomScale="63" zoomScaleNormal="63" workbookViewId="0">
      <selection activeCell="B27" sqref="B27"/>
    </sheetView>
  </sheetViews>
  <sheetFormatPr defaultRowHeight="14.5" x14ac:dyDescent="0.35"/>
  <cols>
    <col min="1" max="1" width="29.7265625" customWidth="1"/>
    <col min="2" max="2" width="12.08984375" customWidth="1"/>
    <col min="3" max="6" width="11.453125" customWidth="1"/>
    <col min="7" max="7" width="12.1796875" customWidth="1"/>
    <col min="8" max="8" width="17.08984375" customWidth="1"/>
    <col min="9" max="9" width="12.26953125" customWidth="1"/>
    <col min="10" max="10" width="26.81640625" customWidth="1"/>
    <col min="11" max="11" width="27.6328125" customWidth="1"/>
    <col min="12" max="12" width="7.7265625" customWidth="1"/>
    <col min="13" max="13" width="14.90625" customWidth="1"/>
    <col min="14" max="14" width="17.90625" customWidth="1"/>
    <col min="17" max="17" width="13.90625" customWidth="1"/>
  </cols>
  <sheetData>
    <row r="4" spans="1:14" ht="20" x14ac:dyDescent="0.4">
      <c r="A4" s="6" t="s">
        <v>29</v>
      </c>
      <c r="B4" s="6">
        <v>2900</v>
      </c>
      <c r="F4" s="19" t="s">
        <v>36</v>
      </c>
      <c r="G4" s="19"/>
      <c r="H4" s="19"/>
      <c r="I4" s="19"/>
      <c r="J4" s="19"/>
    </row>
    <row r="5" spans="1:14" ht="20" x14ac:dyDescent="0.4">
      <c r="A5" s="6" t="s">
        <v>2</v>
      </c>
      <c r="B5" s="6">
        <v>0</v>
      </c>
      <c r="F5" s="19" t="s">
        <v>37</v>
      </c>
      <c r="G5" s="19"/>
      <c r="H5" s="19"/>
      <c r="I5" s="19"/>
      <c r="J5" s="19"/>
    </row>
    <row r="7" spans="1:14" x14ac:dyDescent="0.35">
      <c r="A7" s="8" t="s">
        <v>34</v>
      </c>
    </row>
    <row r="8" spans="1:14" x14ac:dyDescent="0.35">
      <c r="A8" s="6" t="s">
        <v>38</v>
      </c>
    </row>
    <row r="9" spans="1:14" x14ac:dyDescent="0.35">
      <c r="A9" s="6" t="s">
        <v>28</v>
      </c>
    </row>
    <row r="11" spans="1:14" ht="17.5" x14ac:dyDescent="0.35">
      <c r="A11" s="1"/>
      <c r="B11" s="16" t="s">
        <v>3</v>
      </c>
      <c r="C11" s="17"/>
      <c r="D11" s="18"/>
      <c r="E11" s="15" t="s">
        <v>32</v>
      </c>
      <c r="F11" s="15"/>
      <c r="G11" s="15"/>
      <c r="H11" s="15"/>
      <c r="I11" s="15"/>
      <c r="J11" s="10" t="s">
        <v>4</v>
      </c>
      <c r="K11" s="10" t="s">
        <v>8</v>
      </c>
      <c r="L11" s="21"/>
      <c r="M11" s="11"/>
      <c r="N11" s="11"/>
    </row>
    <row r="12" spans="1:14" x14ac:dyDescent="0.35">
      <c r="A12" s="9" t="s">
        <v>35</v>
      </c>
      <c r="B12" s="12" t="s">
        <v>0</v>
      </c>
      <c r="C12" s="12" t="s">
        <v>1</v>
      </c>
      <c r="D12" s="12" t="s">
        <v>30</v>
      </c>
      <c r="E12" s="12" t="s">
        <v>5</v>
      </c>
      <c r="F12" s="12" t="s">
        <v>33</v>
      </c>
      <c r="G12" s="12" t="s">
        <v>6</v>
      </c>
      <c r="H12" s="12" t="s">
        <v>27</v>
      </c>
      <c r="I12" s="12" t="s">
        <v>7</v>
      </c>
      <c r="J12" s="12" t="s">
        <v>23</v>
      </c>
      <c r="K12" s="12" t="s">
        <v>24</v>
      </c>
      <c r="L12" s="12"/>
      <c r="M12" s="13" t="s">
        <v>25</v>
      </c>
      <c r="N12" s="13" t="s">
        <v>26</v>
      </c>
    </row>
    <row r="13" spans="1:14" x14ac:dyDescent="0.35">
      <c r="A13" s="20" t="s">
        <v>20</v>
      </c>
      <c r="B13" s="2">
        <v>17.555572916666598</v>
      </c>
      <c r="C13" s="2">
        <v>16.55</v>
      </c>
      <c r="D13" s="2">
        <v>3</v>
      </c>
      <c r="E13" s="1">
        <v>126.81002445999999</v>
      </c>
      <c r="F13" s="1">
        <v>11.26099571</v>
      </c>
      <c r="G13" s="2">
        <v>76.03</v>
      </c>
      <c r="H13" s="2">
        <v>-4.2</v>
      </c>
      <c r="I13" s="2">
        <v>80.23</v>
      </c>
      <c r="J13" s="2">
        <v>0.71101393397916202</v>
      </c>
      <c r="K13" s="2">
        <v>0.44932073211130902</v>
      </c>
      <c r="L13" s="2"/>
      <c r="M13" s="2">
        <v>20</v>
      </c>
      <c r="N13" s="1">
        <v>7</v>
      </c>
    </row>
    <row r="14" spans="1:14" x14ac:dyDescent="0.35">
      <c r="A14" s="20" t="s">
        <v>9</v>
      </c>
      <c r="B14" s="2">
        <v>3.12378782608695</v>
      </c>
      <c r="C14" s="2">
        <v>2.78</v>
      </c>
      <c r="D14" s="2">
        <v>3.5</v>
      </c>
      <c r="E14" s="1">
        <v>3.8748008500000002</v>
      </c>
      <c r="F14" s="1">
        <v>1.9684513800000001</v>
      </c>
      <c r="G14" s="2">
        <v>11.99</v>
      </c>
      <c r="H14" s="2">
        <v>0</v>
      </c>
      <c r="I14" s="2">
        <v>11.99</v>
      </c>
      <c r="J14" s="2">
        <v>2.4157606706197701</v>
      </c>
      <c r="K14" s="2">
        <v>6.78193624727216</v>
      </c>
      <c r="L14" s="2"/>
      <c r="M14" s="2">
        <v>25</v>
      </c>
      <c r="N14" s="2">
        <v>111</v>
      </c>
    </row>
    <row r="15" spans="1:14" x14ac:dyDescent="0.35">
      <c r="A15" s="20" t="s">
        <v>10</v>
      </c>
      <c r="B15" s="2">
        <v>21.009246717346201</v>
      </c>
      <c r="C15" s="2">
        <v>23.03</v>
      </c>
      <c r="D15" s="2">
        <v>40</v>
      </c>
      <c r="E15" s="1">
        <v>1180.398999</v>
      </c>
      <c r="F15" s="1">
        <v>34.356935249999999</v>
      </c>
      <c r="G15" s="2">
        <v>297.43</v>
      </c>
      <c r="H15" s="2">
        <v>-182.94</v>
      </c>
      <c r="I15" s="2">
        <v>480.37</v>
      </c>
      <c r="J15" s="2">
        <v>0.66084316531138998</v>
      </c>
      <c r="K15" s="2">
        <v>7.5230441653779199</v>
      </c>
      <c r="L15" s="2"/>
      <c r="M15" s="1">
        <v>6</v>
      </c>
      <c r="N15" s="2">
        <v>55</v>
      </c>
    </row>
    <row r="16" spans="1:14" x14ac:dyDescent="0.35">
      <c r="A16" s="20" t="s">
        <v>11</v>
      </c>
      <c r="B16" s="2">
        <v>84.153882758620597</v>
      </c>
      <c r="C16" s="2">
        <v>83.37</v>
      </c>
      <c r="D16" s="2">
        <v>74.599999999999994</v>
      </c>
      <c r="E16" s="1">
        <v>470.81421310000002</v>
      </c>
      <c r="F16" s="1">
        <v>21.698253680000001</v>
      </c>
      <c r="G16" s="2">
        <v>144.88</v>
      </c>
      <c r="H16" s="2">
        <v>10.08</v>
      </c>
      <c r="I16" s="2">
        <v>134.79999999999899</v>
      </c>
      <c r="J16" s="2">
        <v>-0.12573100311438901</v>
      </c>
      <c r="K16" s="2">
        <v>2.5407162567090902</v>
      </c>
      <c r="L16" s="2"/>
      <c r="M16" s="2">
        <v>0</v>
      </c>
      <c r="N16" s="2">
        <v>41</v>
      </c>
    </row>
    <row r="17" spans="1:14" x14ac:dyDescent="0.35">
      <c r="A17" s="20" t="s">
        <v>12</v>
      </c>
      <c r="B17" s="2">
        <v>77.649872413793005</v>
      </c>
      <c r="C17" s="2">
        <v>73.05</v>
      </c>
      <c r="D17" s="2">
        <v>50</v>
      </c>
      <c r="E17" s="1">
        <v>402.81956719999999</v>
      </c>
      <c r="F17" s="1">
        <v>20.070365389999999</v>
      </c>
      <c r="G17" s="2">
        <v>129.84</v>
      </c>
      <c r="H17" s="2">
        <v>50</v>
      </c>
      <c r="I17" s="2">
        <v>79.84</v>
      </c>
      <c r="J17" s="2">
        <v>0.98561137829030399</v>
      </c>
      <c r="K17" s="2">
        <v>0.189970265924263</v>
      </c>
      <c r="L17" s="2"/>
      <c r="M17" s="2">
        <v>0</v>
      </c>
      <c r="N17" s="2">
        <v>0</v>
      </c>
    </row>
    <row r="18" spans="1:14" x14ac:dyDescent="0.35">
      <c r="A18" s="20" t="s">
        <v>13</v>
      </c>
      <c r="B18" s="2">
        <v>14.0806068965516</v>
      </c>
      <c r="C18" s="2">
        <v>10.210000000000001</v>
      </c>
      <c r="D18" s="2">
        <v>40</v>
      </c>
      <c r="E18" s="1">
        <v>573.21187299999997</v>
      </c>
      <c r="F18" s="1">
        <v>23.941843572</v>
      </c>
      <c r="G18" s="2">
        <v>84.91</v>
      </c>
      <c r="H18" s="2">
        <v>-20</v>
      </c>
      <c r="I18" s="2">
        <v>104.91</v>
      </c>
      <c r="J18" s="2">
        <v>1.06213254787764</v>
      </c>
      <c r="K18" s="2">
        <v>0.93118080727944297</v>
      </c>
      <c r="L18" s="2"/>
      <c r="M18" s="2">
        <v>0</v>
      </c>
      <c r="N18" s="2">
        <v>0</v>
      </c>
    </row>
    <row r="19" spans="1:14" x14ac:dyDescent="0.35">
      <c r="A19" s="20" t="s">
        <v>14</v>
      </c>
      <c r="B19" s="2">
        <v>182.70405517241301</v>
      </c>
      <c r="C19" s="2">
        <v>179.83</v>
      </c>
      <c r="D19" s="2">
        <v>300</v>
      </c>
      <c r="E19" s="1">
        <v>10067.26223</v>
      </c>
      <c r="F19" s="1">
        <v>100.33574752</v>
      </c>
      <c r="G19" s="2">
        <v>449.54</v>
      </c>
      <c r="H19" s="2">
        <v>0.13</v>
      </c>
      <c r="I19" s="2">
        <v>449.41</v>
      </c>
      <c r="J19" s="2">
        <v>0.48179516979090498</v>
      </c>
      <c r="K19" s="2">
        <v>7.5649794493424197E-2</v>
      </c>
      <c r="L19" s="2"/>
      <c r="M19" s="2">
        <v>0</v>
      </c>
      <c r="N19" s="2">
        <v>0</v>
      </c>
    </row>
    <row r="20" spans="1:14" x14ac:dyDescent="0.35">
      <c r="A20" s="20" t="s">
        <v>15</v>
      </c>
      <c r="B20" s="2">
        <v>45.174111955770499</v>
      </c>
      <c r="C20" s="2">
        <v>44.9</v>
      </c>
      <c r="D20" s="2">
        <v>60</v>
      </c>
      <c r="E20" s="1">
        <v>392.19633599999997</v>
      </c>
      <c r="F20" s="1">
        <v>19.8039475</v>
      </c>
      <c r="G20" s="2">
        <v>118.75</v>
      </c>
      <c r="H20" s="2">
        <v>-19.850000000000001</v>
      </c>
      <c r="I20" s="2">
        <v>138.6</v>
      </c>
      <c r="J20" s="2">
        <v>-0.16635022593273699</v>
      </c>
      <c r="K20" s="2">
        <v>2.3495783130531702</v>
      </c>
      <c r="L20" s="2"/>
      <c r="M20" s="2">
        <v>6</v>
      </c>
      <c r="N20" s="2">
        <v>40</v>
      </c>
    </row>
    <row r="21" spans="1:14" x14ac:dyDescent="0.35">
      <c r="A21" s="20" t="s">
        <v>16</v>
      </c>
      <c r="B21" s="2">
        <v>81.341527586206993</v>
      </c>
      <c r="C21" s="2">
        <v>70</v>
      </c>
      <c r="D21" s="2">
        <v>70</v>
      </c>
      <c r="E21" s="1">
        <v>580.45418729999994</v>
      </c>
      <c r="F21" s="1">
        <v>24.09261686</v>
      </c>
      <c r="G21" s="2">
        <v>149.72999999999999</v>
      </c>
      <c r="H21" s="2">
        <v>10.1</v>
      </c>
      <c r="I21" s="2">
        <v>139.63</v>
      </c>
      <c r="J21" s="2">
        <v>0.12566325525508101</v>
      </c>
      <c r="K21" s="2">
        <v>0.98700157294472701</v>
      </c>
      <c r="L21" s="2"/>
      <c r="M21" s="2">
        <v>0</v>
      </c>
      <c r="N21" s="1">
        <v>0</v>
      </c>
    </row>
    <row r="22" spans="1:14" x14ac:dyDescent="0.35">
      <c r="A22" s="20" t="s">
        <v>17</v>
      </c>
      <c r="B22" s="2">
        <v>1419.7939764052701</v>
      </c>
      <c r="C22" s="2">
        <v>1403.41</v>
      </c>
      <c r="D22" s="2">
        <v>1800</v>
      </c>
      <c r="E22" s="1">
        <v>187873.19</v>
      </c>
      <c r="F22" s="1">
        <v>433.44321200000002</v>
      </c>
      <c r="G22" s="2">
        <v>3793.38</v>
      </c>
      <c r="H22" s="2">
        <v>302.25</v>
      </c>
      <c r="I22" s="2">
        <v>3491.13</v>
      </c>
      <c r="J22" s="2">
        <v>0.37231703240821101</v>
      </c>
      <c r="K22" s="2">
        <v>2.0583718931171</v>
      </c>
      <c r="L22" s="2"/>
      <c r="M22" s="2">
        <v>18</v>
      </c>
      <c r="N22" s="2">
        <v>16</v>
      </c>
    </row>
    <row r="23" spans="1:14" x14ac:dyDescent="0.35">
      <c r="A23" s="20" t="s">
        <v>21</v>
      </c>
      <c r="B23" s="2">
        <v>45.6089248434238</v>
      </c>
      <c r="C23" s="2">
        <v>32.22</v>
      </c>
      <c r="D23" s="2">
        <v>60</v>
      </c>
      <c r="E23" s="1">
        <v>1830.9740400000001</v>
      </c>
      <c r="F23" s="1">
        <v>42.789882489999997</v>
      </c>
      <c r="G23" s="2">
        <v>179.91</v>
      </c>
      <c r="H23" s="2">
        <v>7.0000000000000007E-2</v>
      </c>
      <c r="I23" s="2">
        <v>179.84</v>
      </c>
      <c r="J23" s="2">
        <v>1.3491334712002201</v>
      </c>
      <c r="K23" s="2">
        <v>1.20332154089937</v>
      </c>
      <c r="L23" s="2"/>
      <c r="M23" s="2">
        <v>26</v>
      </c>
      <c r="N23" s="2">
        <v>25</v>
      </c>
    </row>
    <row r="24" spans="1:14" x14ac:dyDescent="0.35">
      <c r="A24" s="20" t="s">
        <v>22</v>
      </c>
      <c r="B24" s="2">
        <v>55.183906896551797</v>
      </c>
      <c r="C24" s="2">
        <v>34.74</v>
      </c>
      <c r="D24" s="2">
        <v>11.22</v>
      </c>
      <c r="E24" s="1">
        <v>7707.0415752999997</v>
      </c>
      <c r="F24" s="1">
        <v>87.789757578000007</v>
      </c>
      <c r="G24" s="2">
        <v>666.54</v>
      </c>
      <c r="H24" s="2">
        <v>-499.7</v>
      </c>
      <c r="I24" s="2">
        <v>1166.24</v>
      </c>
      <c r="J24" s="2">
        <v>1.33961647752796</v>
      </c>
      <c r="K24" s="2">
        <v>8.1946169149462893</v>
      </c>
      <c r="L24" s="2"/>
      <c r="M24" s="2">
        <v>0</v>
      </c>
      <c r="N24" s="2">
        <v>79</v>
      </c>
    </row>
    <row r="25" spans="1:14" x14ac:dyDescent="0.35">
      <c r="A25" s="20" t="s">
        <v>18</v>
      </c>
      <c r="B25" s="2">
        <v>20.454541379310299</v>
      </c>
      <c r="C25" s="2">
        <v>20.45</v>
      </c>
      <c r="D25" s="2">
        <v>80</v>
      </c>
      <c r="E25" s="1">
        <v>2233.779959</v>
      </c>
      <c r="F25" s="1">
        <v>47.262881399999998</v>
      </c>
      <c r="G25" s="2">
        <v>119.96</v>
      </c>
      <c r="H25" s="2">
        <v>-89.72</v>
      </c>
      <c r="I25" s="2">
        <v>209.68</v>
      </c>
      <c r="J25" s="2">
        <v>-8.54419515257442E-2</v>
      </c>
      <c r="K25" s="2">
        <v>-0.26249809713338701</v>
      </c>
      <c r="L25" s="2"/>
      <c r="M25" s="2">
        <v>0</v>
      </c>
      <c r="N25" s="1">
        <v>0</v>
      </c>
    </row>
    <row r="26" spans="1:14" x14ac:dyDescent="0.35">
      <c r="A26" s="20" t="s">
        <v>19</v>
      </c>
      <c r="B26" s="2">
        <v>22.978439765274299</v>
      </c>
      <c r="C26" s="2">
        <v>15.87</v>
      </c>
      <c r="D26" s="2">
        <v>20</v>
      </c>
      <c r="E26" s="1">
        <v>537.67691119999995</v>
      </c>
      <c r="F26" s="1">
        <v>23.18786128</v>
      </c>
      <c r="G26" s="2">
        <v>119.89</v>
      </c>
      <c r="H26" s="2">
        <v>10</v>
      </c>
      <c r="I26" s="2">
        <v>109.89</v>
      </c>
      <c r="J26" s="2">
        <v>2.9744998528651099</v>
      </c>
      <c r="K26" s="2">
        <v>7.5461774345986496</v>
      </c>
      <c r="L26" s="2"/>
      <c r="M26" s="2">
        <v>3</v>
      </c>
      <c r="N26" s="2">
        <v>145</v>
      </c>
    </row>
    <row r="27" spans="1:14" x14ac:dyDescent="0.35">
      <c r="L27" s="22" t="s">
        <v>39</v>
      </c>
      <c r="M27" s="22">
        <f>SUM(M13:M26)</f>
        <v>104</v>
      </c>
      <c r="N27" s="22">
        <f>SUM(N13:N26)</f>
        <v>519</v>
      </c>
    </row>
    <row r="29" spans="1:14" ht="20" x14ac:dyDescent="0.4">
      <c r="F29" s="19" t="s">
        <v>31</v>
      </c>
      <c r="G29" s="19"/>
      <c r="H29" s="19"/>
      <c r="I29" s="19"/>
      <c r="J29" s="19"/>
    </row>
    <row r="30" spans="1:14" ht="20" x14ac:dyDescent="0.4">
      <c r="F30" s="19" t="s">
        <v>37</v>
      </c>
      <c r="G30" s="19"/>
      <c r="H30" s="19"/>
      <c r="I30" s="19"/>
      <c r="J30" s="19"/>
    </row>
    <row r="32" spans="1:14" ht="20.5" x14ac:dyDescent="0.45">
      <c r="G32" s="7"/>
      <c r="H32" s="7"/>
      <c r="I32" s="7"/>
    </row>
    <row r="33" spans="1:14" ht="20.5" x14ac:dyDescent="0.45">
      <c r="G33" s="7"/>
      <c r="H33" s="7"/>
      <c r="I33" s="7"/>
    </row>
    <row r="34" spans="1:14" ht="17.5" x14ac:dyDescent="0.35">
      <c r="A34" s="1"/>
      <c r="B34" s="16" t="s">
        <v>3</v>
      </c>
      <c r="C34" s="17"/>
      <c r="D34" s="18"/>
      <c r="E34" s="16" t="s">
        <v>32</v>
      </c>
      <c r="F34" s="17"/>
      <c r="G34" s="17"/>
      <c r="H34" s="17"/>
      <c r="I34" s="18"/>
      <c r="J34" s="14" t="s">
        <v>4</v>
      </c>
      <c r="K34" s="14" t="s">
        <v>8</v>
      </c>
      <c r="L34" s="14"/>
      <c r="M34" s="1"/>
      <c r="N34" s="1"/>
    </row>
    <row r="35" spans="1:14" x14ac:dyDescent="0.35">
      <c r="A35" s="3" t="s">
        <v>35</v>
      </c>
      <c r="B35" s="4" t="s">
        <v>0</v>
      </c>
      <c r="C35" s="4" t="s">
        <v>1</v>
      </c>
      <c r="D35" s="4" t="s">
        <v>30</v>
      </c>
      <c r="E35" s="4" t="s">
        <v>5</v>
      </c>
      <c r="F35" s="4" t="s">
        <v>33</v>
      </c>
      <c r="G35" s="4" t="s">
        <v>6</v>
      </c>
      <c r="H35" s="4" t="s">
        <v>27</v>
      </c>
      <c r="I35" s="4" t="s">
        <v>7</v>
      </c>
      <c r="J35" s="4" t="s">
        <v>23</v>
      </c>
      <c r="K35" s="4" t="s">
        <v>24</v>
      </c>
      <c r="L35" s="4"/>
      <c r="M35" s="5" t="s">
        <v>25</v>
      </c>
      <c r="N35" s="5" t="s">
        <v>26</v>
      </c>
    </row>
    <row r="36" spans="1:14" x14ac:dyDescent="0.35">
      <c r="A36" s="20" t="s">
        <v>20</v>
      </c>
      <c r="B36" s="2">
        <v>17.4501036099138</v>
      </c>
      <c r="C36" s="2">
        <v>16.7</v>
      </c>
      <c r="D36" s="2">
        <v>3</v>
      </c>
      <c r="E36" s="1">
        <v>121.17508840000001</v>
      </c>
      <c r="F36" s="1">
        <v>11.007955687000001</v>
      </c>
      <c r="G36" s="1">
        <v>-4.2</v>
      </c>
      <c r="H36" s="1">
        <v>51.22</v>
      </c>
      <c r="I36" s="1">
        <v>55.42</v>
      </c>
      <c r="J36" s="1">
        <v>0.624607299</v>
      </c>
      <c r="K36" s="1">
        <v>8.2255647799999998E-2</v>
      </c>
      <c r="L36" s="1"/>
      <c r="M36" s="1">
        <v>0</v>
      </c>
      <c r="N36" s="2">
        <v>2</v>
      </c>
    </row>
    <row r="37" spans="1:14" x14ac:dyDescent="0.35">
      <c r="A37" s="20" t="s">
        <v>9</v>
      </c>
      <c r="B37" s="2">
        <v>2.8413983256371802</v>
      </c>
      <c r="C37" s="2">
        <v>2.79</v>
      </c>
      <c r="D37" s="2">
        <v>3.5</v>
      </c>
      <c r="E37" s="1">
        <v>1.6481104600000001</v>
      </c>
      <c r="F37" s="1">
        <v>1.2837875400000001</v>
      </c>
      <c r="G37" s="1">
        <v>0</v>
      </c>
      <c r="H37" s="1">
        <v>9</v>
      </c>
      <c r="I37" s="1">
        <v>9</v>
      </c>
      <c r="J37" s="1">
        <v>1.798746226</v>
      </c>
      <c r="K37" s="1">
        <v>6.9619841519000003</v>
      </c>
      <c r="L37" s="1"/>
      <c r="M37" s="1">
        <v>0</v>
      </c>
      <c r="N37" s="1">
        <v>93</v>
      </c>
    </row>
    <row r="38" spans="1:14" x14ac:dyDescent="0.35">
      <c r="A38" s="20" t="s">
        <v>10</v>
      </c>
      <c r="B38" s="2">
        <v>19.222104844744099</v>
      </c>
      <c r="C38" s="2">
        <v>22.02</v>
      </c>
      <c r="D38" s="2">
        <v>40</v>
      </c>
      <c r="E38" s="1">
        <v>764.10076000000004</v>
      </c>
      <c r="F38" s="1">
        <v>27.642372250000001</v>
      </c>
      <c r="G38" s="1">
        <v>-81.72</v>
      </c>
      <c r="H38" s="1">
        <v>123.35</v>
      </c>
      <c r="I38" s="1">
        <v>205.07</v>
      </c>
      <c r="J38" s="1">
        <v>-0.77400322539999999</v>
      </c>
      <c r="K38" s="1">
        <v>1.8675818394999999</v>
      </c>
      <c r="L38" s="1"/>
      <c r="M38" s="1">
        <v>0</v>
      </c>
      <c r="N38" s="1">
        <v>24</v>
      </c>
    </row>
    <row r="39" spans="1:14" x14ac:dyDescent="0.35">
      <c r="A39" s="20" t="s">
        <v>11</v>
      </c>
      <c r="B39" s="2">
        <v>85.143930756242597</v>
      </c>
      <c r="C39" s="2">
        <v>83.93</v>
      </c>
      <c r="D39" s="2">
        <v>84.153882758620597</v>
      </c>
      <c r="E39" s="1">
        <v>400.41700055000001</v>
      </c>
      <c r="F39" s="1">
        <v>20.010422298000002</v>
      </c>
      <c r="G39" s="1">
        <v>19.72</v>
      </c>
      <c r="H39" s="1">
        <v>144.88</v>
      </c>
      <c r="I39" s="1">
        <v>205.07</v>
      </c>
      <c r="J39" s="1">
        <v>0.29933872389999999</v>
      </c>
      <c r="K39" s="1">
        <v>2.4499534333000001</v>
      </c>
      <c r="L39" s="1"/>
      <c r="M39" s="1">
        <v>0</v>
      </c>
      <c r="N39" s="1">
        <v>23</v>
      </c>
    </row>
    <row r="40" spans="1:14" x14ac:dyDescent="0.35">
      <c r="A40" s="20" t="s">
        <v>12</v>
      </c>
      <c r="B40" s="2">
        <v>77.649872413793005</v>
      </c>
      <c r="C40" s="2">
        <v>83.93</v>
      </c>
      <c r="D40" s="2">
        <v>50</v>
      </c>
      <c r="E40" s="1">
        <v>402.81956719999999</v>
      </c>
      <c r="F40" s="1">
        <v>20.070365399</v>
      </c>
      <c r="G40" s="1">
        <v>50</v>
      </c>
      <c r="H40" s="1">
        <v>129.84</v>
      </c>
      <c r="I40" s="1">
        <v>125.16</v>
      </c>
      <c r="J40" s="1">
        <v>0.98561137799999998</v>
      </c>
      <c r="K40" s="1">
        <v>0.18997026589999999</v>
      </c>
      <c r="L40" s="1"/>
      <c r="M40" s="1">
        <v>0</v>
      </c>
      <c r="N40" s="1">
        <v>0</v>
      </c>
    </row>
    <row r="41" spans="1:14" x14ac:dyDescent="0.35">
      <c r="A41" s="20" t="s">
        <v>13</v>
      </c>
      <c r="B41" s="2">
        <v>14.0806068965516</v>
      </c>
      <c r="C41" s="2">
        <v>10.210000000000001</v>
      </c>
      <c r="D41" s="2">
        <v>40</v>
      </c>
      <c r="E41" s="1">
        <v>573.21187299999997</v>
      </c>
      <c r="F41" s="1">
        <v>23.941843572100002</v>
      </c>
      <c r="G41" s="1">
        <v>-20</v>
      </c>
      <c r="H41" s="1">
        <v>84.91</v>
      </c>
      <c r="I41" s="1">
        <v>104.91</v>
      </c>
      <c r="J41" s="1">
        <v>1.0621325478000001</v>
      </c>
      <c r="K41" s="1">
        <v>0.93118080727899999</v>
      </c>
      <c r="L41" s="1"/>
      <c r="M41" s="1">
        <v>0</v>
      </c>
      <c r="N41" s="1">
        <v>0</v>
      </c>
    </row>
    <row r="42" spans="1:14" x14ac:dyDescent="0.35">
      <c r="A42" s="20" t="s">
        <v>14</v>
      </c>
      <c r="B42" s="2">
        <v>182.70405517241301</v>
      </c>
      <c r="C42" s="2">
        <v>179.83</v>
      </c>
      <c r="D42" s="2">
        <v>300</v>
      </c>
      <c r="E42" s="1">
        <v>10067.262199999999</v>
      </c>
      <c r="F42" s="1">
        <v>100.335747527</v>
      </c>
      <c r="G42" s="1">
        <v>0.13</v>
      </c>
      <c r="H42" s="1">
        <v>449.54</v>
      </c>
      <c r="I42" s="1">
        <v>449.41</v>
      </c>
      <c r="J42" s="1">
        <v>0.48179516978999998</v>
      </c>
      <c r="K42" s="1">
        <v>7.5649794490000005E-2</v>
      </c>
      <c r="L42" s="1"/>
      <c r="M42" s="1">
        <v>0</v>
      </c>
      <c r="N42" s="1">
        <v>0</v>
      </c>
    </row>
    <row r="43" spans="1:14" x14ac:dyDescent="0.35">
      <c r="A43" s="20" t="s">
        <v>15</v>
      </c>
      <c r="B43" s="2">
        <v>45.894130741367299</v>
      </c>
      <c r="C43" s="2">
        <v>45.174111955770499</v>
      </c>
      <c r="D43" s="2">
        <v>60</v>
      </c>
      <c r="E43" s="1">
        <v>336.35579999999999</v>
      </c>
      <c r="F43" s="1">
        <v>18.3400056501</v>
      </c>
      <c r="G43" s="1">
        <v>-14.06</v>
      </c>
      <c r="H43" s="1">
        <v>103.62</v>
      </c>
      <c r="I43" s="1">
        <v>117.68</v>
      </c>
      <c r="J43" s="1">
        <v>0.11085328008000001</v>
      </c>
      <c r="K43" s="1">
        <v>2.3235946927229998</v>
      </c>
      <c r="L43" s="1"/>
      <c r="M43" s="1">
        <v>0</v>
      </c>
      <c r="N43" s="1">
        <v>35</v>
      </c>
    </row>
    <row r="44" spans="1:14" x14ac:dyDescent="0.35">
      <c r="A44" s="20" t="s">
        <v>16</v>
      </c>
      <c r="B44" s="2">
        <v>81.341527586206993</v>
      </c>
      <c r="C44" s="2">
        <v>70</v>
      </c>
      <c r="D44" s="2">
        <v>70</v>
      </c>
      <c r="E44" s="1">
        <v>580.45418700000005</v>
      </c>
      <c r="F44" s="1">
        <v>24.092616864</v>
      </c>
      <c r="G44" s="1">
        <v>10.1</v>
      </c>
      <c r="H44" s="1">
        <v>149.72999999999999</v>
      </c>
      <c r="I44" s="1">
        <v>139.63</v>
      </c>
      <c r="J44" s="1">
        <v>0.12566325525499999</v>
      </c>
      <c r="K44" s="1">
        <v>0.98700157294400004</v>
      </c>
      <c r="L44" s="1"/>
      <c r="M44" s="1">
        <v>0</v>
      </c>
      <c r="N44" s="1">
        <v>0</v>
      </c>
    </row>
    <row r="45" spans="1:14" x14ac:dyDescent="0.35">
      <c r="A45" s="20" t="s">
        <v>17</v>
      </c>
      <c r="B45" s="2">
        <v>1410.19671903371</v>
      </c>
      <c r="C45" s="2">
        <v>1409.12</v>
      </c>
      <c r="D45" s="2">
        <v>1800</v>
      </c>
      <c r="E45" s="1">
        <v>169256.64859999999</v>
      </c>
      <c r="F45" s="1">
        <v>411.40812905500002</v>
      </c>
      <c r="G45" s="1">
        <v>302.25</v>
      </c>
      <c r="H45" s="1">
        <v>37993.379999999997</v>
      </c>
      <c r="I45" s="1">
        <v>3491.13</v>
      </c>
      <c r="J45" s="1">
        <v>3.6804653600000001E-2</v>
      </c>
      <c r="K45" s="1">
        <v>1.01295867107</v>
      </c>
      <c r="L45" s="1"/>
      <c r="M45" s="1">
        <v>0</v>
      </c>
      <c r="N45" s="1">
        <v>2</v>
      </c>
    </row>
    <row r="46" spans="1:14" x14ac:dyDescent="0.35">
      <c r="A46" s="20" t="s">
        <v>21</v>
      </c>
      <c r="B46" s="2">
        <v>44.433577273054503</v>
      </c>
      <c r="C46" s="2">
        <v>33.67</v>
      </c>
      <c r="D46" s="2">
        <v>60</v>
      </c>
      <c r="E46" s="1">
        <v>1659.0712449990001</v>
      </c>
      <c r="F46" s="1">
        <v>40.731698343700003</v>
      </c>
      <c r="G46" s="1">
        <v>7.0000000000000007E-2</v>
      </c>
      <c r="H46" s="1">
        <v>173.08</v>
      </c>
      <c r="I46" s="1">
        <v>173.01000000019999</v>
      </c>
      <c r="J46" s="1">
        <v>1.3517056057500001</v>
      </c>
      <c r="K46" s="1">
        <v>1.3076213132700001</v>
      </c>
      <c r="L46" s="1"/>
      <c r="M46" s="1">
        <v>0</v>
      </c>
      <c r="N46" s="1">
        <v>33</v>
      </c>
    </row>
    <row r="47" spans="1:14" x14ac:dyDescent="0.35">
      <c r="A47" s="20" t="s">
        <v>22</v>
      </c>
      <c r="B47" s="2">
        <v>49.886399532699201</v>
      </c>
      <c r="C47" s="2">
        <v>35.4</v>
      </c>
      <c r="D47" s="2">
        <v>55.183906896551797</v>
      </c>
      <c r="E47" s="1">
        <v>4266.0969778999997</v>
      </c>
      <c r="F47" s="1">
        <v>65.315365557589999</v>
      </c>
      <c r="G47" s="1">
        <v>-206.22</v>
      </c>
      <c r="H47" s="1">
        <v>317.57</v>
      </c>
      <c r="I47" s="1">
        <v>523.79</v>
      </c>
      <c r="J47" s="1">
        <v>0.74295874269999995</v>
      </c>
      <c r="K47" s="1">
        <v>3.4230876430000001</v>
      </c>
      <c r="L47" s="1"/>
      <c r="M47" s="1">
        <v>0</v>
      </c>
      <c r="N47" s="1">
        <v>75</v>
      </c>
    </row>
    <row r="48" spans="1:14" x14ac:dyDescent="0.35">
      <c r="A48" s="20" t="s">
        <v>18</v>
      </c>
      <c r="B48" s="2">
        <v>20.454541379310299</v>
      </c>
      <c r="C48" s="2">
        <v>20.45</v>
      </c>
      <c r="D48" s="2">
        <v>80</v>
      </c>
      <c r="E48" s="1">
        <v>2233.779959</v>
      </c>
      <c r="F48" s="1">
        <v>47.262881408799998</v>
      </c>
      <c r="G48" s="1">
        <v>-89.72</v>
      </c>
      <c r="H48" s="1">
        <v>119.96</v>
      </c>
      <c r="I48" s="1">
        <v>209.68</v>
      </c>
      <c r="J48" s="1">
        <v>-8.5441951500000002E-2</v>
      </c>
      <c r="K48" s="1">
        <v>-0.26249809713330002</v>
      </c>
      <c r="L48" s="1"/>
      <c r="M48" s="1">
        <v>0</v>
      </c>
      <c r="N48" s="1">
        <v>0</v>
      </c>
    </row>
    <row r="49" spans="1:14" x14ac:dyDescent="0.35">
      <c r="A49" s="20" t="s">
        <v>19</v>
      </c>
      <c r="B49" s="2">
        <v>18.7947341673312</v>
      </c>
      <c r="C49" s="2">
        <v>15.88</v>
      </c>
      <c r="D49" s="2">
        <v>22.978439765274299</v>
      </c>
      <c r="E49" s="1">
        <v>166.28094809999999</v>
      </c>
      <c r="F49" s="1">
        <v>12.894997021</v>
      </c>
      <c r="G49" s="1">
        <v>10</v>
      </c>
      <c r="H49" s="1">
        <v>92.45</v>
      </c>
      <c r="I49" s="1">
        <v>82.45</v>
      </c>
      <c r="J49" s="1">
        <v>4.25962456233</v>
      </c>
      <c r="K49" s="1">
        <v>18.535723275799999</v>
      </c>
      <c r="L49" s="1"/>
      <c r="M49" s="1">
        <v>0</v>
      </c>
      <c r="N49" s="1">
        <v>105</v>
      </c>
    </row>
    <row r="50" spans="1:14" x14ac:dyDescent="0.35">
      <c r="L50" s="22" t="s">
        <v>39</v>
      </c>
      <c r="M50" s="22">
        <f>SUM(M36:M49)</f>
        <v>0</v>
      </c>
      <c r="N50" s="22">
        <f>SUM(N36:N49)</f>
        <v>392</v>
      </c>
    </row>
  </sheetData>
  <mergeCells count="8">
    <mergeCell ref="E11:I11"/>
    <mergeCell ref="B34:D34"/>
    <mergeCell ref="E34:I34"/>
    <mergeCell ref="F4:J4"/>
    <mergeCell ref="F5:J5"/>
    <mergeCell ref="F29:J29"/>
    <mergeCell ref="F30:J30"/>
    <mergeCell ref="B11:D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Pagadala Sai Sudheshna</dc:creator>
  <cp:lastModifiedBy>Pagadala Sai Sudheshna</cp:lastModifiedBy>
  <dcterms:created xsi:type="dcterms:W3CDTF">2023-11-10T11:28:15Z</dcterms:created>
  <dcterms:modified xsi:type="dcterms:W3CDTF">2023-11-14T19:12:37Z</dcterms:modified>
</cp:coreProperties>
</file>